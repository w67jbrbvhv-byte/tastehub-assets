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anded Cost" sheetId="2" state="visible" r:id="rId2"/>
    <sheet name="Channel Margins" sheetId="3" state="visible" r:id="rId3"/>
    <sheet name="MOQ Scenarios" sheetId="4" state="visible" r:id="rId4"/>
    <sheet name="12-Month 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F4E3D"/>
      <sz val="14"/>
    </font>
    <font>
      <i val="1"/>
      <color rgb="00666666"/>
      <sz val="9"/>
    </font>
    <font>
      <i val="1"/>
      <color rgb="00C00000"/>
      <sz val="9"/>
    </font>
    <font>
      <b val="1"/>
      <color rgb="00FFFFFF"/>
      <sz val="11"/>
    </font>
    <font>
      <b val="1"/>
      <color rgb="001F4E3D"/>
      <sz val="10"/>
    </font>
    <font>
      <b val="1"/>
      <color rgb="001F4E3D"/>
      <sz val="13"/>
    </font>
    <font>
      <b val="1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4" borderId="1" pivotButton="0" quotePrefix="0" xfId="0"/>
    <xf numFmtId="0" fontId="2" fillId="0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6" fillId="0" borderId="0" pivotButton="0" quotePrefix="0" xfId="0"/>
    <xf numFmtId="164" fontId="0" fillId="0" borderId="1" pivotButton="0" quotePrefix="0" xfId="0"/>
    <xf numFmtId="0" fontId="7" fillId="3" borderId="0" pivotButton="0" quotePrefix="0" xfId="0"/>
    <xf numFmtId="164" fontId="7" fillId="3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8" fillId="0" borderId="0" pivotButton="0" quotePrefix="0" xfId="0"/>
    <xf numFmtId="0" fontId="7" fillId="3" borderId="1" pivotButton="0" quotePrefix="0" xfId="0"/>
    <xf numFmtId="164" fontId="7" fillId="3" borderId="1" pivotButton="0" quotePrefix="0" xfId="0"/>
    <xf numFmtId="0" fontId="7" fillId="0" borderId="0" pivotButton="0" quotePrefix="0" xfId="0"/>
    <xf numFmtId="165" fontId="7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64" customWidth="1" min="4" max="4"/>
  </cols>
  <sheetData>
    <row r="1">
      <c r="A1" s="1" t="inlineStr">
        <is>
          <t>LANDED COST &amp; CHANNEL MARGIN MODEL</t>
        </is>
      </c>
    </row>
    <row r="2">
      <c r="A2" s="2" t="inlineStr">
        <is>
          <t>Taste Hub Ltd — UK private label powders. Yellow cells are inputs; everything else calculates.</t>
        </is>
      </c>
    </row>
    <row r="3">
      <c r="A3" s="3" t="inlineStr">
        <is>
          <t>⚠ PLACEHOLDERS until MpLinn Foods returns the RFQ. Replace before relying on any output.</t>
        </is>
      </c>
    </row>
    <row r="5" ht="28" customHeight="1">
      <c r="A5" s="4" t="inlineStr">
        <is>
          <t>Assumption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</t>
        </is>
      </c>
    </row>
    <row r="6">
      <c r="A6" s="5" t="inlineStr">
        <is>
          <t>SUPPLY</t>
        </is>
      </c>
      <c r="B6" s="6" t="n"/>
      <c r="C6" s="6" t="n"/>
      <c r="D6" s="6" t="n"/>
    </row>
    <row r="7">
      <c r="A7" s="7" t="inlineStr">
        <is>
          <t>Powder cost, retail-ready (SKU A)</t>
        </is>
      </c>
      <c r="B7" s="8" t="n">
        <v>0.8</v>
      </c>
      <c r="C7" s="7" t="inlineStr">
        <is>
          <t>£/unit</t>
        </is>
      </c>
      <c r="D7" s="9" t="inlineStr">
        <is>
          <t>RFQ §4.2 — quote at 2k/5k/10k units</t>
        </is>
      </c>
    </row>
    <row r="8">
      <c r="A8" s="7" t="inlineStr">
        <is>
          <t>Powder cost, retail-ready (SKU B)</t>
        </is>
      </c>
      <c r="B8" s="8" t="n">
        <v>0.8</v>
      </c>
      <c r="C8" s="7" t="inlineStr">
        <is>
          <t>£/unit</t>
        </is>
      </c>
      <c r="D8" s="9" t="inlineStr">
        <is>
          <t>RFQ §4.2</t>
        </is>
      </c>
    </row>
    <row r="9">
      <c r="A9" s="7" t="inlineStr">
        <is>
          <t>Pouch, label &amp; filling</t>
        </is>
      </c>
      <c r="B9" s="8" t="n">
        <v>0.45</v>
      </c>
      <c r="C9" s="7" t="inlineStr">
        <is>
          <t>£/unit</t>
        </is>
      </c>
      <c r="D9" s="9" t="inlineStr">
        <is>
          <t>Supplier offers 100g–25kg formats</t>
        </is>
      </c>
    </row>
    <row r="10">
      <c r="A10" s="7" t="inlineStr">
        <is>
          <t>Sea freight LCL + clearance</t>
        </is>
      </c>
      <c r="B10" s="8" t="n">
        <v>0.25</v>
      </c>
      <c r="C10" s="7" t="inlineStr">
        <is>
          <t>£/unit</t>
        </is>
      </c>
      <c r="D10" s="9" t="inlineStr">
        <is>
          <t>India → UK, ~4–5 weeks</t>
        </is>
      </c>
    </row>
    <row r="11">
      <c r="A11" s="7" t="inlineStr">
        <is>
          <t>Import duty rate</t>
        </is>
      </c>
      <c r="B11" s="10" t="n">
        <v>0</v>
      </c>
      <c r="C11" s="7" t="inlineStr">
        <is>
          <t>%</t>
        </is>
      </c>
      <c r="D11" s="9" t="inlineStr">
        <is>
          <t>CETA in force 15 Jul 2026 — MUST claim preferential origin</t>
        </is>
      </c>
    </row>
    <row r="12">
      <c r="A12" s="7" t="inlineStr">
        <is>
          <t>Testing per consignment</t>
        </is>
      </c>
      <c r="B12" s="8" t="n">
        <v>900</v>
      </c>
      <c r="C12" s="7" t="inlineStr">
        <is>
          <t>£</t>
        </is>
      </c>
      <c r="D12" s="9" t="inlineStr">
        <is>
          <t>Accredited 3rd-party: EtO, heavy metals, pesticides, mycotoxins, micro, RS%</t>
        </is>
      </c>
    </row>
    <row r="13">
      <c r="A13" s="7" t="inlineStr">
        <is>
          <t>Units per consignment</t>
        </is>
      </c>
      <c r="B13" s="11" t="n">
        <v>6000</v>
      </c>
      <c r="C13" s="7" t="inlineStr">
        <is>
          <t>units</t>
        </is>
      </c>
      <c r="D13" s="9" t="inlineStr">
        <is>
          <t>2 SKUs × 3,000</t>
        </is>
      </c>
    </row>
    <row r="14">
      <c r="A14" s="5" t="inlineStr">
        <is>
          <t>PRICING</t>
        </is>
      </c>
      <c r="B14" s="6" t="n"/>
      <c r="C14" s="6" t="n"/>
      <c r="D14" s="6" t="n"/>
    </row>
    <row r="15">
      <c r="A15" s="7" t="inlineStr">
        <is>
          <t>Trade price to wholesaler</t>
        </is>
      </c>
      <c r="B15" s="8" t="n">
        <v>4.75</v>
      </c>
      <c r="C15" s="7" t="inlineStr">
        <is>
          <t>£/unit</t>
        </is>
      </c>
      <c r="D15" s="9" t="inlineStr">
        <is>
          <t>Ex-VAT</t>
        </is>
      </c>
    </row>
    <row r="16">
      <c r="A16" s="7" t="inlineStr">
        <is>
          <t>Shop RRP</t>
        </is>
      </c>
      <c r="B16" s="8" t="n">
        <v>12.99</v>
      </c>
      <c r="C16" s="7" t="inlineStr">
        <is>
          <t>£/unit</t>
        </is>
      </c>
      <c r="D16" s="9" t="inlineStr">
        <is>
          <t>Inc. VAT if standard-rated</t>
        </is>
      </c>
    </row>
    <row r="17">
      <c r="A17" s="7" t="inlineStr">
        <is>
          <t>D2C RRP</t>
        </is>
      </c>
      <c r="B17" s="8" t="n">
        <v>15.99</v>
      </c>
      <c r="C17" s="7" t="inlineStr">
        <is>
          <t>£/unit</t>
        </is>
      </c>
      <c r="D17" s="9" t="inlineStr">
        <is>
          <t>Inc. VAT if standard-rated</t>
        </is>
      </c>
    </row>
    <row r="18">
      <c r="A18" s="5" t="inlineStr">
        <is>
          <t>VAT / CHANNEL</t>
        </is>
      </c>
      <c r="B18" s="6" t="n"/>
      <c r="C18" s="6" t="n"/>
      <c r="D18" s="6" t="n"/>
    </row>
    <row r="19">
      <c r="A19" s="7" t="inlineStr">
        <is>
          <t>VAT rate if standard-rated</t>
        </is>
      </c>
      <c r="B19" s="10" t="n">
        <v>0.2</v>
      </c>
      <c r="C19" s="7" t="inlineStr">
        <is>
          <t>%</t>
        </is>
      </c>
      <c r="D19" s="9" t="inlineStr">
        <is>
          <t>Food supplements = 20%</t>
        </is>
      </c>
    </row>
    <row r="20">
      <c r="A20" s="7" t="inlineStr">
        <is>
          <t>ZERO-RATED?  (1 = yes, 0 = no)</t>
        </is>
      </c>
      <c r="B20" s="11" t="n">
        <v>1</v>
      </c>
      <c r="C20" s="7" t="inlineStr">
        <is>
          <t>flag</t>
        </is>
      </c>
      <c r="D20" s="9" t="inlineStr">
        <is>
          <t>1 = zero-rated as food. Global By Nature v HMRC [2025] TC09396. NEEDS SPECIALIST OPINION</t>
        </is>
      </c>
    </row>
    <row r="21">
      <c r="A21" s="7" t="inlineStr">
        <is>
          <t>Faire commission (reorders)</t>
        </is>
      </c>
      <c r="B21" s="10" t="n">
        <v>0.15</v>
      </c>
      <c r="C21" s="7" t="inlineStr">
        <is>
          <t>%</t>
        </is>
      </c>
      <c r="D21" s="9" t="inlineStr">
        <is>
          <t>0–10% via Faire Direct for self-introduced retailers</t>
        </is>
      </c>
    </row>
    <row r="22">
      <c r="A22" s="7" t="inlineStr">
        <is>
          <t>D2C payment processing</t>
        </is>
      </c>
      <c r="B22" s="10" t="n">
        <v>0.025</v>
      </c>
      <c r="C22" s="7" t="inlineStr">
        <is>
          <t>%</t>
        </is>
      </c>
      <c r="D22" s="9" t="inlineStr">
        <is>
          <t>Shopify/Stripe</t>
        </is>
      </c>
    </row>
    <row r="23">
      <c r="A23" s="7" t="inlineStr">
        <is>
          <t>D2C pick, pack &amp; postage</t>
        </is>
      </c>
      <c r="B23" s="8" t="n">
        <v>2.2</v>
      </c>
      <c r="C23" s="7" t="inlineStr">
        <is>
          <t>£/order</t>
        </is>
      </c>
      <c r="D23" s="9" t="inlineStr">
        <is>
          <t>Assumes 1 unit per order — conservative</t>
        </is>
      </c>
    </row>
    <row r="24">
      <c r="A24" s="5" t="inlineStr">
        <is>
          <t>VOLUME</t>
        </is>
      </c>
      <c r="B24" s="6" t="n"/>
      <c r="C24" s="6" t="n"/>
      <c r="D24" s="6" t="n"/>
    </row>
    <row r="25">
      <c r="A25" s="7" t="inlineStr">
        <is>
          <t>First run, units per SKU</t>
        </is>
      </c>
      <c r="B25" s="11" t="n">
        <v>3000</v>
      </c>
      <c r="C25" s="7" t="inlineStr">
        <is>
          <t>units</t>
        </is>
      </c>
      <c r="D25" s="9" t="inlineStr">
        <is>
          <t>RFQ: negotiate down to 2,000 at premium unit price</t>
        </is>
      </c>
    </row>
    <row r="26">
      <c r="A26" s="7" t="inlineStr">
        <is>
          <t>Number of SKUs, phase 1</t>
        </is>
      </c>
      <c r="B26" s="11" t="n">
        <v>2</v>
      </c>
      <c r="C26" s="7" t="inlineStr">
        <is>
          <t>SKUs</t>
        </is>
      </c>
      <c r="D26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  <col width="54" customWidth="1" min="4" max="4"/>
  </cols>
  <sheetData>
    <row r="1">
      <c r="A1" s="12" t="inlineStr">
        <is>
          <t>LANDED COST PER UNIT</t>
        </is>
      </c>
    </row>
    <row r="2">
      <c r="A2" s="2" t="inlineStr">
        <is>
          <t>200g retail-ready pouch, delivered to UK warehouse.</t>
        </is>
      </c>
    </row>
    <row r="4" ht="28" customHeight="1">
      <c r="A4" s="4" t="inlineStr">
        <is>
          <t>Cost line</t>
        </is>
      </c>
      <c r="B4" s="4" t="inlineStr">
        <is>
          <t>SKU A — Green Banana Flour</t>
        </is>
      </c>
      <c r="C4" s="4" t="inlineStr">
        <is>
          <t>SKU B — Green Banana Powder</t>
        </is>
      </c>
      <c r="D4" s="4" t="inlineStr">
        <is>
          <t>Note</t>
        </is>
      </c>
    </row>
    <row r="5">
      <c r="A5" s="7" t="inlineStr">
        <is>
          <t>Powder, retail-ready</t>
        </is>
      </c>
      <c r="B5" s="13">
        <f>Inputs!$B$7</f>
        <v/>
      </c>
      <c r="C5" s="13">
        <f>Inputs!$B$8</f>
        <v/>
      </c>
      <c r="D5" s="9" t="inlineStr">
        <is>
          <t>Supplier FOB, filled &amp; labelled</t>
        </is>
      </c>
    </row>
    <row r="6">
      <c r="A6" s="7" t="inlineStr">
        <is>
          <t>Pouch, label &amp; filling</t>
        </is>
      </c>
      <c r="B6" s="13">
        <f>Inputs!$B$9</f>
        <v/>
      </c>
      <c r="C6" s="13">
        <f>Inputs!$B$9</f>
        <v/>
      </c>
      <c r="D6" s="9" t="inlineStr"/>
    </row>
    <row r="7">
      <c r="A7" s="7" t="inlineStr">
        <is>
          <t>Sea freight + clearance</t>
        </is>
      </c>
      <c r="B7" s="13">
        <f>Inputs!$B$10</f>
        <v/>
      </c>
      <c r="C7" s="13">
        <f>Inputs!$B$10</f>
        <v/>
      </c>
      <c r="D7" s="9" t="inlineStr">
        <is>
          <t>LCL</t>
        </is>
      </c>
    </row>
    <row r="8">
      <c r="A8" s="7" t="inlineStr">
        <is>
          <t>Import duty</t>
        </is>
      </c>
      <c r="B8" s="13">
        <f>(Inputs!$B$7+Inputs!$B$9)*Inputs!$B$11</f>
        <v/>
      </c>
      <c r="C8" s="13">
        <f>(Inputs!$B$8+Inputs!$B$9)*Inputs!$B$11</f>
        <v/>
      </c>
      <c r="D8" s="9" t="inlineStr">
        <is>
          <t>Zero under CETA if origin claimed</t>
        </is>
      </c>
    </row>
    <row r="9">
      <c r="A9" s="7" t="inlineStr">
        <is>
          <t>Testing, amortised</t>
        </is>
      </c>
      <c r="B9" s="13">
        <f>Inputs!$B$12/Inputs!$B$13</f>
        <v/>
      </c>
      <c r="C9" s="13">
        <f>Inputs!$B$12/Inputs!$B$13</f>
        <v/>
      </c>
      <c r="D9" s="9" t="inlineStr">
        <is>
          <t>Per consignment ÷ units</t>
        </is>
      </c>
    </row>
    <row r="10">
      <c r="A10" s="14" t="inlineStr">
        <is>
          <t>LANDED COST</t>
        </is>
      </c>
      <c r="B10" s="15">
        <f>SUM(B5:B9)</f>
        <v/>
      </c>
      <c r="C10" s="15">
        <f>SUM(C5:C9)</f>
        <v/>
      </c>
      <c r="D10" s="6" t="n"/>
    </row>
    <row r="12">
      <c r="A12" s="16" t="inlineStr">
        <is>
          <t>First-run inventory commitment</t>
        </is>
      </c>
    </row>
    <row r="13">
      <c r="A13" t="inlineStr">
        <is>
          <t>Units (all SKUs)</t>
        </is>
      </c>
      <c r="B13" s="17">
        <f>Inputs!$B$25*Inputs!$B$26</f>
        <v/>
      </c>
    </row>
    <row r="14">
      <c r="A14" t="inlineStr">
        <is>
          <t>Inventory cost</t>
        </is>
      </c>
      <c r="B14" s="15">
        <f>'Landed Cost'!$B$10*Inputs!$B$25*Inputs!$B$26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20" customWidth="1" min="4" max="4"/>
    <col width="44" customWidth="1" min="5" max="5"/>
  </cols>
  <sheetData>
    <row r="1">
      <c r="A1" s="12" t="inlineStr">
        <is>
          <t>CHANNEL MARGIN WATERFALL</t>
        </is>
      </c>
    </row>
    <row r="2">
      <c r="A2" s="18">
        <f>IF(Inputs!$B$20=1,"VAT MODE: ZERO-RATED as food — no VAT deducted from consumer prices.","VAT MODE: STANDARD-RATED at 20% — VAT deducted from consumer prices.")</f>
        <v/>
      </c>
    </row>
    <row r="3">
      <c r="A3" s="2" t="inlineStr">
        <is>
          <t>Toggle the ZERO-RATED cell on Inputs to compare. This single switch is worth ~17% of revenue.</t>
        </is>
      </c>
    </row>
    <row r="5" ht="28" customHeight="1">
      <c r="A5" s="4" t="inlineStr">
        <is>
          <t>Line</t>
        </is>
      </c>
      <c r="B5" s="4" t="inlineStr">
        <is>
          <t>Wholesale (via distributor)</t>
        </is>
      </c>
      <c r="C5" s="4" t="inlineStr">
        <is>
          <t>Faire</t>
        </is>
      </c>
      <c r="D5" s="4" t="inlineStr">
        <is>
          <t>D2C (own Shopify)</t>
        </is>
      </c>
      <c r="E5" s="4" t="inlineStr">
        <is>
          <t>Note</t>
        </is>
      </c>
    </row>
    <row r="6">
      <c r="A6" s="7" t="inlineStr">
        <is>
          <t>Gross price</t>
        </is>
      </c>
      <c r="B6" s="13">
        <f>Inputs!$B$15</f>
        <v/>
      </c>
      <c r="C6" s="13">
        <f>Inputs!$B$15</f>
        <v/>
      </c>
      <c r="D6" s="13">
        <f>Inputs!$B$17</f>
        <v/>
      </c>
      <c r="E6" s="9" t="inlineStr">
        <is>
          <t>Wholesale ex-VAT; D2C inc. VAT if standard-rated</t>
        </is>
      </c>
    </row>
    <row r="7">
      <c r="A7" s="7" t="inlineStr">
        <is>
          <t>Less VAT</t>
        </is>
      </c>
      <c r="B7" s="13">
        <f>0</f>
        <v/>
      </c>
      <c r="C7" s="13">
        <f>0</f>
        <v/>
      </c>
      <c r="D7" s="13">
        <f>IF(Inputs!$B$20=1,0,Inputs!$B$17-Inputs!$B$17/(1+Inputs!$B$19))</f>
        <v/>
      </c>
      <c r="E7" s="9" t="inlineStr">
        <is>
          <t>Zero if zero-rated</t>
        </is>
      </c>
    </row>
    <row r="8">
      <c r="A8" s="7" t="inlineStr">
        <is>
          <t>Less commission</t>
        </is>
      </c>
      <c r="B8" s="13">
        <f>0</f>
        <v/>
      </c>
      <c r="C8" s="13">
        <f>Inputs!$B$15*Inputs!$B$21</f>
        <v/>
      </c>
      <c r="D8" s="13">
        <f>0</f>
        <v/>
      </c>
      <c r="E8" s="9" t="inlineStr">
        <is>
          <t>Faire ~15% reorders; 0–10% Faire Direct</t>
        </is>
      </c>
    </row>
    <row r="9">
      <c r="A9" s="7" t="inlineStr">
        <is>
          <t>Less payment fees</t>
        </is>
      </c>
      <c r="B9" s="13">
        <f>0</f>
        <v/>
      </c>
      <c r="C9" s="13">
        <f>0</f>
        <v/>
      </c>
      <c r="D9" s="13">
        <f>IF(Inputs!$B$20=1,Inputs!$B$17,Inputs!$B$17/(1+Inputs!$B$19))*Inputs!$B$22</f>
        <v/>
      </c>
      <c r="E9" s="9" t="inlineStr">
        <is>
          <t>Shopify/Stripe</t>
        </is>
      </c>
    </row>
    <row r="10">
      <c r="A10" s="7" t="inlineStr">
        <is>
          <t>Less pick/pack/post</t>
        </is>
      </c>
      <c r="B10" s="13">
        <f>0</f>
        <v/>
      </c>
      <c r="C10" s="13">
        <f>0</f>
        <v/>
      </c>
      <c r="D10" s="13">
        <f>Inputs!$B$23</f>
        <v/>
      </c>
      <c r="E10" s="9" t="inlineStr">
        <is>
          <t>Per order</t>
        </is>
      </c>
    </row>
    <row r="11">
      <c r="A11" s="19" t="inlineStr">
        <is>
          <t>NET REVENUE</t>
        </is>
      </c>
      <c r="B11" s="20">
        <f>Inputs!$B$15</f>
        <v/>
      </c>
      <c r="C11" s="20">
        <f>Inputs!$B$15*(1-Inputs!$B$21)</f>
        <v/>
      </c>
      <c r="D11" s="20">
        <f>IF(Inputs!$B$20=1,Inputs!$B$17,Inputs!$B$17/(1+Inputs!$B$19))-IF(Inputs!$B$20=1,Inputs!$B$17,Inputs!$B$17/(1+Inputs!$B$19))*Inputs!$B$22-Inputs!$B$23</f>
        <v/>
      </c>
      <c r="E11" s="9" t="inlineStr"/>
    </row>
    <row r="12">
      <c r="A12" s="7" t="inlineStr">
        <is>
          <t>Less landed cost</t>
        </is>
      </c>
      <c r="B12" s="13">
        <f>'Landed Cost'!$B$10</f>
        <v/>
      </c>
      <c r="C12" s="13">
        <f>'Landed Cost'!$B$10</f>
        <v/>
      </c>
      <c r="D12" s="13">
        <f>'Landed Cost'!$B$10</f>
        <v/>
      </c>
      <c r="E12" s="9" t="inlineStr"/>
    </row>
    <row r="13">
      <c r="A13" s="14" t="inlineStr">
        <is>
          <t>GROSS PROFIT / UNIT</t>
        </is>
      </c>
      <c r="B13" s="15">
        <f>B11-B12</f>
        <v/>
      </c>
      <c r="C13" s="15">
        <f>C11-C12</f>
        <v/>
      </c>
      <c r="D13" s="15">
        <f>D11-D12</f>
        <v/>
      </c>
      <c r="E13" s="6" t="n"/>
    </row>
    <row r="14">
      <c r="A14" s="21" t="inlineStr">
        <is>
          <t>GROSS MARGIN %</t>
        </is>
      </c>
      <c r="B14" s="22">
        <f>IF(B11=0,0,B13/B11)</f>
        <v/>
      </c>
      <c r="C14" s="22">
        <f>IF(C11=0,0,C13/C11)</f>
        <v/>
      </c>
      <c r="D14" s="22">
        <f>IF(D11=0,0,D13/D11)</f>
        <v/>
      </c>
    </row>
    <row r="16">
      <c r="A16" s="16" t="inlineStr">
        <is>
          <t>Retail price check</t>
        </is>
      </c>
    </row>
    <row r="17">
      <c r="A17" t="inlineStr">
        <is>
          <t>Shop RRP</t>
        </is>
      </c>
      <c r="B17" s="23">
        <f>Inputs!$B$16</f>
        <v/>
      </c>
    </row>
    <row r="18">
      <c r="A18" t="inlineStr">
        <is>
          <t>Implied shop margin on trade price</t>
        </is>
      </c>
      <c r="B18" s="24">
        <f>IF(Inputs!$B$20=1,(Inputs!$B$16-Inputs!$B$15)/Inputs!$B$16,(Inputs!$B$16/(1+Inputs!$B$19)-Inputs!$B$15)/(Inputs!$B$16/(1+Inputs!$B$19)))</f>
        <v/>
      </c>
    </row>
    <row r="19">
      <c r="A19" s="2" t="inlineStr">
        <is>
          <t>→ Needs to clear ~35–40% for a health-food retailer to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2" customWidth="1" min="4" max="4"/>
    <col width="14" customWidth="1" min="5" max="5"/>
    <col width="16" customWidth="1" min="6" max="6"/>
    <col width="13" customWidth="1" min="7" max="7"/>
    <col width="16" customWidth="1" min="8" max="8"/>
  </cols>
  <sheetData>
    <row r="1">
      <c r="A1" s="12" t="inlineStr">
        <is>
          <t>MOQ SCENARIOS vs £25k BUDGET</t>
        </is>
      </c>
    </row>
    <row r="2">
      <c r="A2" s="2" t="inlineStr">
        <is>
          <t>Supplier has not disclosed MOQs. Finished-goods MOQs typically run 3,000–5,000 units/SKU.</t>
        </is>
      </c>
    </row>
    <row r="4" ht="28" customHeight="1">
      <c r="A4" s="4" t="inlineStr">
        <is>
          <t>Scenario</t>
        </is>
      </c>
      <c r="B4" s="4" t="inlineStr">
        <is>
          <t>Units/SKU</t>
        </is>
      </c>
      <c r="C4" s="4" t="inlineStr">
        <is>
          <t>SKUs</t>
        </is>
      </c>
      <c r="D4" s="4" t="inlineStr">
        <is>
          <t>Total units</t>
        </is>
      </c>
      <c r="E4" s="4" t="inlineStr">
        <is>
          <t>Inventory £</t>
        </is>
      </c>
      <c r="F4" s="4" t="inlineStr">
        <is>
          <t>Non-inventory £</t>
        </is>
      </c>
      <c r="G4" s="4" t="inlineStr">
        <is>
          <t>Total £</t>
        </is>
      </c>
      <c r="H4" s="4" t="inlineStr">
        <is>
          <t>Within £25k?</t>
        </is>
      </c>
    </row>
    <row r="5">
      <c r="A5" s="7" t="inlineStr">
        <is>
          <t>Negotiated first run</t>
        </is>
      </c>
      <c r="B5" s="7" t="n">
        <v>2000</v>
      </c>
      <c r="C5" s="7" t="n">
        <v>2</v>
      </c>
      <c r="D5" s="7">
        <f>B5*C5</f>
        <v/>
      </c>
      <c r="E5" s="23">
        <f>'Landed Cost'!$B$10*D5</f>
        <v/>
      </c>
      <c r="F5" s="23" t="n">
        <v>15100</v>
      </c>
      <c r="G5" s="23">
        <f>E5+F5</f>
        <v/>
      </c>
      <c r="H5" s="21">
        <f>IF(G5&lt;=25000,"YES","NO — over budget")</f>
        <v/>
      </c>
    </row>
    <row r="6">
      <c r="A6" s="7" t="inlineStr">
        <is>
          <t>Base case</t>
        </is>
      </c>
      <c r="B6" s="7" t="n">
        <v>3000</v>
      </c>
      <c r="C6" s="7" t="n">
        <v>2</v>
      </c>
      <c r="D6" s="7">
        <f>B6*C6</f>
        <v/>
      </c>
      <c r="E6" s="23">
        <f>'Landed Cost'!$B$10*D6</f>
        <v/>
      </c>
      <c r="F6" s="23" t="n">
        <v>15100</v>
      </c>
      <c r="G6" s="23">
        <f>E6+F6</f>
        <v/>
      </c>
      <c r="H6" s="21">
        <f>IF(G6&lt;=25000,"YES","NO — over budget")</f>
        <v/>
      </c>
    </row>
    <row r="7">
      <c r="A7" s="7" t="inlineStr">
        <is>
          <t>Typical supplier MOQ</t>
        </is>
      </c>
      <c r="B7" s="7" t="n">
        <v>5000</v>
      </c>
      <c r="C7" s="7" t="n">
        <v>2</v>
      </c>
      <c r="D7" s="7">
        <f>B7*C7</f>
        <v/>
      </c>
      <c r="E7" s="23">
        <f>'Landed Cost'!$B$10*D7</f>
        <v/>
      </c>
      <c r="F7" s="23" t="n">
        <v>15100</v>
      </c>
      <c r="G7" s="23">
        <f>E7+F7</f>
        <v/>
      </c>
      <c r="H7" s="21">
        <f>IF(G7&lt;=25000,"YES","NO — over budget")</f>
        <v/>
      </c>
    </row>
    <row r="8">
      <c r="A8" s="7" t="inlineStr">
        <is>
          <t>Single SKU fallback</t>
        </is>
      </c>
      <c r="B8" s="7" t="n">
        <v>3000</v>
      </c>
      <c r="C8" s="7" t="n">
        <v>1</v>
      </c>
      <c r="D8" s="7">
        <f>B8*C8</f>
        <v/>
      </c>
      <c r="E8" s="23">
        <f>'Landed Cost'!$B$10*D8</f>
        <v/>
      </c>
      <c r="F8" s="23" t="n">
        <v>15100</v>
      </c>
      <c r="G8" s="23">
        <f>E8+F8</f>
        <v/>
      </c>
      <c r="H8" s="21">
        <f>IF(G8&lt;=25000,"YES","NO — over budget")</f>
        <v/>
      </c>
    </row>
    <row r="9">
      <c r="A9" s="7" t="inlineStr">
        <is>
          <t>Three SKUs</t>
        </is>
      </c>
      <c r="B9" s="7" t="n">
        <v>3000</v>
      </c>
      <c r="C9" s="7" t="n">
        <v>3</v>
      </c>
      <c r="D9" s="7">
        <f>B9*C9</f>
        <v/>
      </c>
      <c r="E9" s="23">
        <f>'Landed Cost'!$B$10*D9</f>
        <v/>
      </c>
      <c r="F9" s="23" t="n">
        <v>15100</v>
      </c>
      <c r="G9" s="23">
        <f>E9+F9</f>
        <v/>
      </c>
      <c r="H9" s="21">
        <f>IF(G9&lt;=25000,"YES","NO — over budget")</f>
        <v/>
      </c>
    </row>
    <row r="11">
      <c r="A11" s="2" t="inlineStr">
        <is>
          <t>Non-inventory £ = compliance, brand, testing, Shopify, trade launch, contingency (see launch-plan.md).</t>
        </is>
      </c>
    </row>
    <row r="12">
      <c r="A12" s="2" t="inlineStr">
        <is>
          <t>If the supplier's MOQ forces the 5,000-unit row, cut to one SKU rather than exceed budget.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2" t="inlineStr">
        <is>
          <t>PHASE ONE — 12-MONTH VIEW</t>
        </is>
      </c>
    </row>
    <row r="2">
      <c r="A2" s="2" t="inlineStr">
        <is>
          <t>Illustrative. Trade revenue lags listing by 6–8 weeks.</t>
        </is>
      </c>
    </row>
    <row r="4" ht="28" customHeight="1">
      <c r="A4" s="4" t="inlineStr"/>
      <c r="B4" s="4" t="inlineStr">
        <is>
          <t>M0-1 Qualify</t>
        </is>
      </c>
      <c r="C4" s="4" t="inlineStr">
        <is>
          <t>M2-3 Build</t>
        </is>
      </c>
      <c r="D4" s="4" t="inlineStr">
        <is>
          <t>M3-4 Commit</t>
        </is>
      </c>
      <c r="E4" s="4" t="inlineStr">
        <is>
          <t>M5-6 Land</t>
        </is>
      </c>
      <c r="F4" s="4" t="inlineStr">
        <is>
          <t>M6-9 Sell in</t>
        </is>
      </c>
      <c r="G4" s="4" t="inlineStr">
        <is>
          <t>M9-12 Prove</t>
        </is>
      </c>
      <c r="H4" s="4" t="inlineStr">
        <is>
          <t>Total</t>
        </is>
      </c>
    </row>
    <row r="5">
      <c r="A5" s="21" t="inlineStr">
        <is>
          <t>Spend</t>
        </is>
      </c>
      <c r="B5" s="23" t="n">
        <v>2000</v>
      </c>
      <c r="C5" s="23" t="n">
        <v>4000</v>
      </c>
      <c r="D5" s="23" t="n">
        <v>11500</v>
      </c>
      <c r="E5" s="23" t="n">
        <v>3600</v>
      </c>
      <c r="F5" s="23" t="n">
        <v>0</v>
      </c>
      <c r="G5" s="23" t="n">
        <v>0</v>
      </c>
      <c r="H5" s="25">
        <f>SUM(B5:G5)</f>
        <v/>
      </c>
    </row>
    <row r="6">
      <c r="A6" s="21" t="inlineStr">
        <is>
          <t>Cumulative spend</t>
        </is>
      </c>
      <c r="B6" s="23">
        <f>SUM($B$5:B5)</f>
        <v/>
      </c>
      <c r="C6" s="23">
        <f>SUM($B$5:C5)</f>
        <v/>
      </c>
      <c r="D6" s="23">
        <f>SUM($B$5:D5)</f>
        <v/>
      </c>
      <c r="E6" s="23">
        <f>SUM($B$5:E5)</f>
        <v/>
      </c>
      <c r="F6" s="23">
        <f>SUM($B$5:F5)</f>
        <v/>
      </c>
      <c r="G6" s="23">
        <f>SUM($B$5:G5)</f>
        <v/>
      </c>
    </row>
    <row r="8">
      <c r="A8" s="21" t="inlineStr">
        <is>
          <t>Units sold (illustrative)</t>
        </is>
      </c>
      <c r="B8" s="17" t="n">
        <v>0</v>
      </c>
      <c r="C8" s="17" t="n">
        <v>0</v>
      </c>
      <c r="D8" s="17" t="n">
        <v>0</v>
      </c>
      <c r="E8" s="17" t="n">
        <v>300</v>
      </c>
      <c r="F8" s="17" t="n">
        <v>2200</v>
      </c>
      <c r="G8" s="17" t="n">
        <v>1500</v>
      </c>
      <c r="H8" s="17">
        <f>SUM(B8:G8)</f>
        <v/>
      </c>
    </row>
    <row r="9">
      <c r="A9" s="21" t="inlineStr">
        <is>
          <t>Gross profit (wholesale rate)</t>
        </is>
      </c>
      <c r="B9" s="23">
        <f>B8*'Channel Margins'!$B$13</f>
        <v/>
      </c>
      <c r="C9" s="23">
        <f>C8*'Channel Margins'!$B$13</f>
        <v/>
      </c>
      <c r="D9" s="23">
        <f>D8*'Channel Margins'!$B$13</f>
        <v/>
      </c>
      <c r="E9" s="23">
        <f>E8*'Channel Margins'!$B$13</f>
        <v/>
      </c>
      <c r="F9" s="23">
        <f>F8*'Channel Margins'!$B$13</f>
        <v/>
      </c>
      <c r="G9" s="23">
        <f>G8*'Channel Margins'!$B$13</f>
        <v/>
      </c>
      <c r="H9" s="25">
        <f>SUM(B9:G9)</f>
        <v/>
      </c>
    </row>
    <row r="11">
      <c r="A11" s="21" t="inlineStr">
        <is>
          <t>Stock remaining</t>
        </is>
      </c>
      <c r="B11" s="17">
        <f>Inputs!$B$25*Inputs!$B$26-SUM($B$8:B8)</f>
        <v/>
      </c>
      <c r="C11" s="17">
        <f>Inputs!$B$25*Inputs!$B$26-SUM($B$8:C8)</f>
        <v/>
      </c>
      <c r="D11" s="17">
        <f>Inputs!$B$25*Inputs!$B$26-SUM($B$8:D8)</f>
        <v/>
      </c>
      <c r="E11" s="17">
        <f>Inputs!$B$25*Inputs!$B$26-SUM($B$8:E8)</f>
        <v/>
      </c>
      <c r="F11" s="17">
        <f>Inputs!$B$25*Inputs!$B$26-SUM($B$8:F8)</f>
        <v/>
      </c>
      <c r="G11" s="17">
        <f>Inputs!$B$25*Inputs!$B$26-SUM($B$8:G8)</f>
        <v/>
      </c>
    </row>
    <row r="13">
      <c r="A13" s="2" t="inlineStr">
        <is>
          <t>Gate 4: does sell-through support a second container within 6 months of landing?</t>
        </is>
      </c>
    </row>
    <row r="14">
      <c r="A14" s="2" t="inlineStr">
        <is>
          <t>Units are placeholders — replace with actual sell-in as trade accounts confirm.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2026-09-01T12:36:59Z</dcterms:created>
  <dcterms:modified xsi:type="dcterms:W3CDTF">2026-09-01T12:36:59Z</dcterms:modified>
</cp:coreProperties>
</file>